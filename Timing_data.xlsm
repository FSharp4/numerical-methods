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cobpeterson/PycharmProjects/sturdy-bassoon/"/>
    </mc:Choice>
  </mc:AlternateContent>
  <xr:revisionPtr revIDLastSave="0" documentId="13_ncr:40009_{0DF87F28-3B36-8442-99B9-A9C6571BE3EF}" xr6:coauthVersionLast="47" xr6:coauthVersionMax="47" xr10:uidLastSave="{00000000-0000-0000-0000-000000000000}"/>
  <bookViews>
    <workbookView xWindow="5760" yWindow="760" windowWidth="28040" windowHeight="17440" activeTab="1"/>
  </bookViews>
  <sheets>
    <sheet name="Sheet1" sheetId="2" r:id="rId1"/>
    <sheet name="Timing_data" sheetId="1" r:id="rId2"/>
  </sheets>
  <definedNames>
    <definedName name="_xlchart.v1.0" hidden="1">Timing_data!$A$1</definedName>
    <definedName name="_xlchart.v1.1" hidden="1">Timing_data!$A$2:$A$15</definedName>
    <definedName name="_xlchart.v1.10" hidden="1">Timing_data!$C$2:$C$15</definedName>
    <definedName name="_xlchart.v1.11" hidden="1">Timing_data!$A$2:$A$15</definedName>
    <definedName name="_xlchart.v1.12" hidden="1">Timing_data!$C$1</definedName>
    <definedName name="_xlchart.v1.13" hidden="1">Timing_data!$C$2:$C$15</definedName>
    <definedName name="_xlchart.v1.14" hidden="1">Timing_data!$A$2:$A$15</definedName>
    <definedName name="_xlchart.v1.15" hidden="1">Timing_data!$B$1</definedName>
    <definedName name="_xlchart.v1.16" hidden="1">Timing_data!$B$2:$B$15</definedName>
    <definedName name="_xlchart.v1.17" hidden="1">Timing_data!$A$2:$A$15</definedName>
    <definedName name="_xlchart.v1.18" hidden="1">Timing_data!$B$1</definedName>
    <definedName name="_xlchart.v1.19" hidden="1">Timing_data!$B$2:$B$15</definedName>
    <definedName name="_xlchart.v1.2" hidden="1">Timing_data!$D$1</definedName>
    <definedName name="_xlchart.v1.20" hidden="1">Timing_data!$A$2:$A$15</definedName>
    <definedName name="_xlchart.v1.21" hidden="1">Timing_data!$C$1</definedName>
    <definedName name="_xlchart.v1.22" hidden="1">Timing_data!$C$2:$C$15</definedName>
    <definedName name="_xlchart.v1.3" hidden="1">Timing_data!$D$2:$D$15</definedName>
    <definedName name="_xlchart.v1.8" hidden="1">Timing_data!$A$2:$A$15</definedName>
    <definedName name="_xlchart.v1.9" hidden="1">Timing_data!$C$1</definedName>
    <definedName name="_xlchart.v2.4" hidden="1">Timing_data!$A$1</definedName>
    <definedName name="_xlchart.v2.5" hidden="1">Timing_data!$A$2:$A$15</definedName>
    <definedName name="_xlchart.v2.6" hidden="1">Timing_data!$D$1</definedName>
    <definedName name="_xlchart.v2.7" hidden="1">Timing_data!$D$2:$D$15</definedName>
    <definedName name="Intercept">Sheet1!$B$17</definedName>
    <definedName name="ln_coeff">Sheet1!$B$18</definedName>
    <definedName name="solver_eng" localSheetId="1" hidden="1">1</definedName>
    <definedName name="solver_lin" localSheetId="1" hidden="1">2</definedName>
    <definedName name="solver_neg" localSheetId="1" hidden="1">1</definedName>
    <definedName name="solver_num" localSheetId="1" hidden="1">0</definedName>
    <definedName name="solver_opt" localSheetId="1" hidden="1">Timing_data!$A$1</definedName>
    <definedName name="solver_typ" localSheetId="1" hidden="1">1</definedName>
    <definedName name="solver_val" localSheetId="1" hidden="1">0</definedName>
    <definedName name="solver_ver" localSheetId="1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2" i="1"/>
</calcChain>
</file>

<file path=xl/sharedStrings.xml><?xml version="1.0" encoding="utf-8"?>
<sst xmlns="http://schemas.openxmlformats.org/spreadsheetml/2006/main" count="34" uniqueCount="33">
  <si>
    <t>Size</t>
  </si>
  <si>
    <t>Resistance</t>
  </si>
  <si>
    <t>Calculation Runtime (s)</t>
  </si>
  <si>
    <t>Generation Runtime (s)</t>
  </si>
  <si>
    <t>ln(size)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</si>
  <si>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</si>
  <si>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</si>
  <si>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</si>
  <si>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</si>
  <si>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</si>
  <si>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</si>
  <si>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</si>
  <si>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</si>
  <si>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</si>
  <si>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</si>
  <si>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</si>
  <si>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</si>
  <si>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</si>
  <si>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</si>
  <si>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</si>
  <si>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</si>
  <si>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</si>
  <si>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</si>
  <si>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</si>
  <si>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</si>
  <si>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</si>
  <si>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</si>
  <si>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</si>
  <si>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</si>
  <si>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</si>
  <si>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Predictor</t>
  </si>
  <si>
    <t>Error</t>
  </si>
  <si>
    <t>Percentile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</si>
</sst>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1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Calculated</a:t>
            </a:r>
            <a:r>
              <a:rPr lang="en-US" baseline="0"/>
              <a:t> Resistance (Ω) by Network Size (with logarithmic trendline)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30434782608695"/>
          <c:y val="0.16822981366459627"/>
          <c:w val="0.84922432152556593"/>
          <c:h val="0.60709040235949885"/>
        </c:manualLayout>
      </c:layout>
      <c:scatterChart>
        <c:scatterStyle val="lineMarker"/>
        <c:varyColors val="0"/>
        <c:ser>
          <c:idx val="0"/>
          <c:order val="0"/>
          <c:tx>
            <c:strRef>
              <c:f>Timing_data!$B$1</c:f>
              <c:strCache>
                <c:ptCount val="1"/>
                <c:pt idx="0">
                  <c:v>Resistance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0.23951235516292171"/>
                  <c:y val="0.6266750547934085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Timing_data!$A$2:$A$15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</c:numCache>
            </c:numRef>
          </c:xVal>
          <c:yVal>
            <c:numRef>
              <c:f>Timing_data!$B$2:$B$15</c:f>
              <c:numCache>
                <c:formatCode>General</c:formatCode>
                <c:ptCount val="14"/>
                <c:pt idx="0">
                  <c:v>10000</c:v>
                </c:pt>
                <c:pt idx="1">
                  <c:v>15000</c:v>
                </c:pt>
                <c:pt idx="2">
                  <c:v>18571.428571428602</c:v>
                </c:pt>
                <c:pt idx="3">
                  <c:v>21363.636363636298</c:v>
                </c:pt>
                <c:pt idx="4">
                  <c:v>23656.565656565501</c:v>
                </c:pt>
                <c:pt idx="5">
                  <c:v>25601.443464314201</c:v>
                </c:pt>
                <c:pt idx="6">
                  <c:v>27289.767631697901</c:v>
                </c:pt>
                <c:pt idx="7">
                  <c:v>28781.173737716199</c:v>
                </c:pt>
                <c:pt idx="8">
                  <c:v>30116.695648965298</c:v>
                </c:pt>
                <c:pt idx="9">
                  <c:v>31325.769805547701</c:v>
                </c:pt>
                <c:pt idx="10">
                  <c:v>32430.2258446429</c:v>
                </c:pt>
                <c:pt idx="11">
                  <c:v>33446.697258167798</c:v>
                </c:pt>
                <c:pt idx="12">
                  <c:v>34388.147716621097</c:v>
                </c:pt>
                <c:pt idx="13">
                  <c:v>35264.875659703299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2-9048-8ACA-D07579E96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272032"/>
        <c:axId val="1249964400"/>
      </c:scatterChart>
      <c:valAx>
        <c:axId val="1326272032"/>
        <c:scaling>
          <c:orientation val="minMax"/>
          <c:max val="15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Network</a:t>
                </a:r>
                <a:r>
                  <a:rPr lang="en-US" baseline="0"/>
                  <a:t> Size (N = # nodes along dimension)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11555655419003145"/>
              <c:y val="0.844701680331195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964400"/>
        <c:crosses val="autoZero"/>
        <c:crossBetween val="midCat"/>
        <c:majorUnit val="2"/>
        <c:minorUnit val="1"/>
      </c:valAx>
      <c:valAx>
        <c:axId val="1249964400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Calculated</a:t>
                </a:r>
                <a:r>
                  <a:rPr lang="en-US" baseline="0"/>
                  <a:t> Resistance (Ω)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272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564256449651114"/>
          <c:y val="0.84833806856617144"/>
          <c:w val="0.20089494910697139"/>
          <c:h val="0.11594664069053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Timing_data!$D$1</c:f>
              <c:strCache>
                <c:ptCount val="1"/>
                <c:pt idx="0">
                  <c:v>Generation Runtime (s)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Timing_data!$A$2:$A$15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</c:numCache>
            </c:numRef>
          </c:xVal>
          <c:yVal>
            <c:numRef>
              <c:f>Timing_data!$D$2:$D$15</c:f>
              <c:numCache>
                <c:formatCode>0.00E+00</c:formatCode>
                <c:ptCount val="14"/>
                <c:pt idx="0">
                  <c:v>3.02791595458984E-5</c:v>
                </c:pt>
                <c:pt idx="1">
                  <c:v>1.52587890625E-5</c:v>
                </c:pt>
                <c:pt idx="2">
                  <c:v>2.4080276489257799E-5</c:v>
                </c:pt>
                <c:pt idx="3">
                  <c:v>4.1961669921875E-5</c:v>
                </c:pt>
                <c:pt idx="4" formatCode="General">
                  <c:v>2.9325485229492101E-4</c:v>
                </c:pt>
                <c:pt idx="5">
                  <c:v>7.2956085205078098E-5</c:v>
                </c:pt>
                <c:pt idx="6">
                  <c:v>6.29425048828125E-5</c:v>
                </c:pt>
                <c:pt idx="7" formatCode="General">
                  <c:v>1.7189979553222599E-4</c:v>
                </c:pt>
                <c:pt idx="8" formatCode="General">
                  <c:v>1.5473365783691401E-4</c:v>
                </c:pt>
                <c:pt idx="9" formatCode="General">
                  <c:v>1.4781951904296799E-4</c:v>
                </c:pt>
                <c:pt idx="10" formatCode="General">
                  <c:v>2.1576881408691401E-4</c:v>
                </c:pt>
                <c:pt idx="11" formatCode="General">
                  <c:v>2.9683113098144499E-4</c:v>
                </c:pt>
                <c:pt idx="12" formatCode="General">
                  <c:v>3.37123870849609E-4</c:v>
                </c:pt>
                <c:pt idx="13" formatCode="General">
                  <c:v>4.2796134948730398E-4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CC-3A46-B68F-00A49634E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4921808"/>
        <c:axId val="1274763328"/>
      </c:scatterChart>
      <c:valAx>
        <c:axId val="127492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763328"/>
        <c:crosses val="autoZero"/>
        <c:crossBetween val="midCat"/>
      </c:valAx>
      <c:valAx>
        <c:axId val="127476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921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Resistance Calculation Runtime</a:t>
            </a:r>
            <a:r>
              <a:rPr lang="en-US" baseline="0"/>
              <a:t> (with 6th power trendline)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483271375464678E-2"/>
          <c:y val="0.12159029301665161"/>
          <c:w val="0.87591897667066709"/>
          <c:h val="0.61809810249128694"/>
        </c:manualLayout>
      </c:layout>
      <c:scatterChart>
        <c:scatterStyle val="lineMarker"/>
        <c:varyColors val="0"/>
        <c:ser>
          <c:idx val="0"/>
          <c:order val="0"/>
          <c:tx>
            <c:strRef>
              <c:f>Timing_data!$C$1</c:f>
              <c:strCache>
                <c:ptCount val="1"/>
                <c:pt idx="0">
                  <c:v>Calculation Runtime (s)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intercept val="0"/>
            <c:dispRSqr val="1"/>
            <c:dispEq val="1"/>
            <c:trendlineLbl>
              <c:layout>
                <c:manualLayout>
                  <c:x val="-0.31041826353564211"/>
                  <c:y val="0.730868723376790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Timing_data!$A$2:$A$15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</c:numCache>
            </c:numRef>
          </c:xVal>
          <c:yVal>
            <c:numRef>
              <c:f>Timing_data!$C$2:$C$15</c:f>
              <c:numCache>
                <c:formatCode>General</c:formatCode>
                <c:ptCount val="14"/>
                <c:pt idx="0">
                  <c:v>2.3579597473144499E-4</c:v>
                </c:pt>
                <c:pt idx="1">
                  <c:v>6.6566467285156196E-4</c:v>
                </c:pt>
                <c:pt idx="2">
                  <c:v>2.5730133056640599E-3</c:v>
                </c:pt>
                <c:pt idx="3">
                  <c:v>1.8350839614868102E-2</c:v>
                </c:pt>
                <c:pt idx="4">
                  <c:v>3.2481908798217697E-2</c:v>
                </c:pt>
                <c:pt idx="5">
                  <c:v>6.6476821899413993E-2</c:v>
                </c:pt>
                <c:pt idx="6">
                  <c:v>0.14365410804748499</c:v>
                </c:pt>
                <c:pt idx="7">
                  <c:v>0.32354998588562001</c:v>
                </c:pt>
                <c:pt idx="8">
                  <c:v>0.56667399406433105</c:v>
                </c:pt>
                <c:pt idx="9">
                  <c:v>0.99436521530151301</c:v>
                </c:pt>
                <c:pt idx="10">
                  <c:v>1.7746610641479399</c:v>
                </c:pt>
                <c:pt idx="11">
                  <c:v>2.84032011032104</c:v>
                </c:pt>
                <c:pt idx="12">
                  <c:v>4.5951209068298304</c:v>
                </c:pt>
                <c:pt idx="13">
                  <c:v>7.3537931442260698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3E-D542-A241-8913E9411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3233680"/>
        <c:axId val="1327144688"/>
      </c:scatterChart>
      <c:valAx>
        <c:axId val="127323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Network</a:t>
                </a:r>
                <a:r>
                  <a:rPr lang="en-US" baseline="0"/>
                  <a:t> Size (# Nodes along Dimension)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6.6207593009981566E-2"/>
              <c:y val="0.815721182393184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144688"/>
        <c:crosses val="autoZero"/>
        <c:crossBetween val="midCat"/>
      </c:valAx>
      <c:valAx>
        <c:axId val="1327144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Calculation</a:t>
                </a:r>
                <a:r>
                  <a:rPr lang="en-US" baseline="0"/>
                  <a:t> Runtime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3233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82088356212111"/>
          <c:y val="0.83826978185103906"/>
          <c:w val="0.32651679325482547"/>
          <c:h val="0.11062449980637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17</xdr:row>
      <xdr:rowOff>38100</xdr:rowOff>
    </xdr:from>
    <xdr:to>
      <xdr:col>6</xdr:col>
      <xdr:colOff>190500</xdr:colOff>
      <xdr:row>35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2D50042-87AC-FBDB-82E1-F6F9EF7A37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76200</xdr:colOff>
      <xdr:row>22</xdr:row>
      <xdr:rowOff>165100</xdr:rowOff>
    </xdr:from>
    <xdr:to>
      <xdr:col>13</xdr:col>
      <xdr:colOff>596900</xdr:colOff>
      <xdr:row>36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3BC6190-37BD-3EAA-26C4-301270AE01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800100</xdr:colOff>
      <xdr:row>3</xdr:row>
      <xdr:rowOff>165100</xdr:rowOff>
    </xdr:from>
    <xdr:to>
      <xdr:col>18</xdr:col>
      <xdr:colOff>762000</xdr:colOff>
      <xdr:row>22</xdr:row>
      <xdr:rowOff>177800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C9F0A8B-9E20-4A48-ABB1-C068AF22D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C24" sqref="C24"/>
    </sheetView>
  </sheetViews>
  <sheetFormatPr baseColWidth="10" defaultRowHeight="16" x14ac:dyDescent="0.2"/>
  <sheetData>
    <row r="1" spans="1:9" x14ac:dyDescent="0.2">
      <c r="A1" t="s">
        <v>5</v>
      </c>
    </row>
    <row r="2" spans="1:9" ht="17" thickBot="1" x14ac:dyDescent="0.25"/>
    <row r="3" spans="1:9" x14ac:dyDescent="0.2">
      <c r="A3" s="5" t="s">
        <v>6</v>
      </c>
      <c r="B3" s="5"/>
    </row>
    <row r="4" spans="1:9" x14ac:dyDescent="0.2">
      <c r="A4" s="2" t="s">
        <v>7</v>
      </c>
      <c r="B4" s="2">
        <v>0.99998455135669617</v>
      </c>
    </row>
    <row r="5" spans="1:9" x14ac:dyDescent="0.2">
      <c r="A5" s="2" t="s">
        <v>8</v>
      </c>
      <c r="B5" s="2">
        <v>0.99996910295205288</v>
      </c>
    </row>
    <row r="6" spans="1:9" x14ac:dyDescent="0.2">
      <c r="A6" s="2" t="s">
        <v>9</v>
      </c>
      <c r="B6" s="2">
        <v>0.99996652819805731</v>
      </c>
    </row>
    <row r="7" spans="1:9" x14ac:dyDescent="0.2">
      <c r="A7" s="2" t="s">
        <v>10</v>
      </c>
      <c r="B7" s="2">
        <v>44.418597364911015</v>
      </c>
    </row>
    <row r="8" spans="1:9" ht="17" thickBot="1" x14ac:dyDescent="0.25">
      <c r="A8" s="3" t="s">
        <v>11</v>
      </c>
      <c r="B8" s="3">
        <v>14</v>
      </c>
    </row>
    <row r="10" spans="1:9" ht="17" thickBot="1" x14ac:dyDescent="0.25">
      <c r="A10" t="s">
        <v>12</v>
      </c>
    </row>
    <row r="11" spans="1:9" x14ac:dyDescent="0.2">
      <c r="A11" s="4"/>
      <c r="B11" s="4" t="s">
        <v>17</v>
      </c>
      <c r="C11" s="4" t="s">
        <v>18</v>
      </c>
      <c r="D11" s="4" t="s">
        <v>19</v>
      </c>
      <c r="E11" s="4" t="s">
        <v>20</v>
      </c>
      <c r="F11" s="4" t="s">
        <v>21</v>
      </c>
    </row>
    <row r="12" spans="1:9" x14ac:dyDescent="0.2">
      <c r="A12" s="2" t="s">
        <v>13</v>
      </c>
      <c r="B12" s="2">
        <v>1</v>
      </c>
      <c r="C12" s="2">
        <v>766267703.6344502</v>
      </c>
      <c r="D12" s="2">
        <v>766267703.6344502</v>
      </c>
      <c r="E12" s="2">
        <v>388374.6193476686</v>
      </c>
      <c r="F12" s="2">
        <v>1.962545322407587E-28</v>
      </c>
    </row>
    <row r="13" spans="1:9" x14ac:dyDescent="0.2">
      <c r="A13" s="2" t="s">
        <v>14</v>
      </c>
      <c r="B13" s="2">
        <v>12</v>
      </c>
      <c r="C13" s="2">
        <v>23676.141502392955</v>
      </c>
      <c r="D13" s="2">
        <v>1973.0117918660796</v>
      </c>
      <c r="E13" s="2"/>
      <c r="F13" s="2"/>
    </row>
    <row r="14" spans="1:9" ht="17" thickBot="1" x14ac:dyDescent="0.25">
      <c r="A14" s="3" t="s">
        <v>15</v>
      </c>
      <c r="B14" s="3">
        <v>13</v>
      </c>
      <c r="C14" s="3">
        <v>766291379.77595258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22</v>
      </c>
      <c r="C16" s="4" t="s">
        <v>10</v>
      </c>
      <c r="D16" s="4" t="s">
        <v>23</v>
      </c>
      <c r="E16" s="4" t="s">
        <v>24</v>
      </c>
      <c r="F16" s="4" t="s">
        <v>25</v>
      </c>
      <c r="G16" s="4" t="s">
        <v>26</v>
      </c>
      <c r="H16" s="4" t="s">
        <v>27</v>
      </c>
      <c r="I16" s="4" t="s">
        <v>28</v>
      </c>
    </row>
    <row r="17" spans="1:9" x14ac:dyDescent="0.2">
      <c r="A17" s="2" t="s">
        <v>16</v>
      </c>
      <c r="B17" s="2">
        <v>1193.4225582660802</v>
      </c>
      <c r="C17" s="2">
        <v>41.893485849325202</v>
      </c>
      <c r="D17" s="2">
        <v>28.487067477706756</v>
      </c>
      <c r="E17" s="2">
        <v>2.1732340517832693E-12</v>
      </c>
      <c r="F17" s="2">
        <v>1102.144493818088</v>
      </c>
      <c r="G17" s="2">
        <v>1284.7006227140723</v>
      </c>
      <c r="H17" s="2">
        <v>1102.144493818088</v>
      </c>
      <c r="I17" s="2">
        <v>1284.7006227140723</v>
      </c>
    </row>
    <row r="18" spans="1:9" ht="17" thickBot="1" x14ac:dyDescent="0.25">
      <c r="A18" s="3" t="s">
        <v>29</v>
      </c>
      <c r="B18" s="3">
        <v>12564.074047693799</v>
      </c>
      <c r="C18" s="3">
        <v>20.160674923510559</v>
      </c>
      <c r="D18" s="3">
        <v>623.19709510528776</v>
      </c>
      <c r="E18" s="3">
        <v>1.9625453224075729E-28</v>
      </c>
      <c r="F18" s="3">
        <v>12520.147710515705</v>
      </c>
      <c r="G18" s="3">
        <v>12608.000384871893</v>
      </c>
      <c r="H18" s="3">
        <v>12520.147710515705</v>
      </c>
      <c r="I18" s="3">
        <v>12608.000384871893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tabSelected="1" topLeftCell="A5" workbookViewId="0">
      <selection activeCell="D40" sqref="D40"/>
    </sheetView>
  </sheetViews>
  <sheetFormatPr baseColWidth="10" defaultRowHeight="16" x14ac:dyDescent="0.2"/>
  <cols>
    <col min="3" max="3" width="25.5" customWidth="1"/>
    <col min="4" max="4" width="21.6640625" customWidth="1"/>
    <col min="7" max="7" width="11.83203125" bestFit="1" customWidth="1"/>
  </cols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</v>
      </c>
      <c r="G1" t="s">
        <v>31</v>
      </c>
      <c r="H1" t="s">
        <v>32</v>
      </c>
    </row>
    <row r="2" spans="1:9" x14ac:dyDescent="0.2">
      <c r="A2">
        <v>2</v>
      </c>
      <c r="B2">
        <v>10000</v>
      </c>
      <c r="C2">
        <v>2.3579597473144499E-4</v>
      </c>
      <c r="D2" s="1">
        <v>3.02791595458984E-5</v>
      </c>
      <c r="E2">
        <f>LN(A2)</f>
        <v>0.69314718055994529</v>
      </c>
      <c r="F2">
        <f>Intercept + ln_coeff * E2</f>
        <v>9902.1750607714166</v>
      </c>
      <c r="G2">
        <f>F2 - B2</f>
        <v>-97.824939228583389</v>
      </c>
      <c r="H2" s="6">
        <f>G2 / B2</f>
        <v>-9.7824939228583381E-3</v>
      </c>
      <c r="I2">
        <f>POWER(C2, 1/3)</f>
        <v>6.1779652669265633E-2</v>
      </c>
    </row>
    <row r="3" spans="1:9" x14ac:dyDescent="0.2">
      <c r="A3">
        <v>3</v>
      </c>
      <c r="B3">
        <v>15000</v>
      </c>
      <c r="C3">
        <v>6.6566467285156196E-4</v>
      </c>
      <c r="D3" s="1">
        <v>1.52587890625E-5</v>
      </c>
      <c r="E3">
        <f t="shared" ref="E3:E15" si="0">LN(A3)</f>
        <v>1.0986122886681098</v>
      </c>
      <c r="F3">
        <f>Intercept + ln_coeff * E3</f>
        <v>14996.468702798567</v>
      </c>
      <c r="G3">
        <f t="shared" ref="G3:G15" si="1">F3 - B3</f>
        <v>-3.5312972014326078</v>
      </c>
      <c r="H3" s="6">
        <f t="shared" ref="H3:H15" si="2">G3 / B3</f>
        <v>-2.3541981342884051E-4</v>
      </c>
      <c r="I3">
        <f t="shared" ref="I3:I15" si="3">POWER(C3, 1/3)</f>
        <v>8.7314258417483415E-2</v>
      </c>
    </row>
    <row r="4" spans="1:9" x14ac:dyDescent="0.2">
      <c r="A4">
        <v>4</v>
      </c>
      <c r="B4">
        <v>18571.428571428602</v>
      </c>
      <c r="C4">
        <v>2.5730133056640599E-3</v>
      </c>
      <c r="D4" s="1">
        <v>2.4080276489257799E-5</v>
      </c>
      <c r="E4">
        <f t="shared" si="0"/>
        <v>1.3862943611198906</v>
      </c>
      <c r="F4">
        <f>Intercept + ln_coeff * E4</f>
        <v>18610.927563276753</v>
      </c>
      <c r="G4">
        <f t="shared" si="1"/>
        <v>39.498991848151491</v>
      </c>
      <c r="H4" s="6">
        <f t="shared" si="2"/>
        <v>2.1268687918235382E-3</v>
      </c>
      <c r="I4">
        <f t="shared" si="3"/>
        <v>0.1370294803211452</v>
      </c>
    </row>
    <row r="5" spans="1:9" x14ac:dyDescent="0.2">
      <c r="A5">
        <v>5</v>
      </c>
      <c r="B5">
        <v>21363.636363636298</v>
      </c>
      <c r="C5">
        <v>1.8350839614868102E-2</v>
      </c>
      <c r="D5" s="1">
        <v>4.1961669921875E-5</v>
      </c>
      <c r="E5">
        <f t="shared" si="0"/>
        <v>1.6094379124341003</v>
      </c>
      <c r="F5">
        <f>Intercept + ln_coeff * E5</f>
        <v>21414.519665253843</v>
      </c>
      <c r="G5">
        <f t="shared" si="1"/>
        <v>50.88330161754493</v>
      </c>
      <c r="H5" s="6">
        <f t="shared" si="2"/>
        <v>2.3817715650765784E-3</v>
      </c>
      <c r="I5">
        <f t="shared" si="3"/>
        <v>0.26376589868085676</v>
      </c>
    </row>
    <row r="6" spans="1:9" x14ac:dyDescent="0.2">
      <c r="A6">
        <v>6</v>
      </c>
      <c r="B6">
        <v>23656.565656565501</v>
      </c>
      <c r="C6">
        <v>3.2481908798217697E-2</v>
      </c>
      <c r="D6">
        <v>2.9325485229492101E-4</v>
      </c>
      <c r="E6">
        <f t="shared" si="0"/>
        <v>1.791759469228055</v>
      </c>
      <c r="F6">
        <f>Intercept + ln_coeff * E6</f>
        <v>23705.2212053039</v>
      </c>
      <c r="G6">
        <f t="shared" si="1"/>
        <v>48.655548738399375</v>
      </c>
      <c r="H6" s="6">
        <f t="shared" si="2"/>
        <v>2.0567460824515668E-3</v>
      </c>
      <c r="I6">
        <f t="shared" si="3"/>
        <v>0.31906599001745684</v>
      </c>
    </row>
    <row r="7" spans="1:9" x14ac:dyDescent="0.2">
      <c r="A7">
        <v>7</v>
      </c>
      <c r="B7">
        <v>25601.443464314201</v>
      </c>
      <c r="C7">
        <v>6.6476821899413993E-2</v>
      </c>
      <c r="D7" s="1">
        <v>7.2956085205078098E-5</v>
      </c>
      <c r="E7">
        <f t="shared" si="0"/>
        <v>1.9459101490553132</v>
      </c>
      <c r="F7">
        <f>Intercept + ln_coeff * E7</f>
        <v>25641.981761155912</v>
      </c>
      <c r="G7">
        <f t="shared" si="1"/>
        <v>40.538296841710689</v>
      </c>
      <c r="H7" s="6">
        <f t="shared" si="2"/>
        <v>1.5834379377169469E-3</v>
      </c>
      <c r="I7">
        <f t="shared" si="3"/>
        <v>0.40509487570362251</v>
      </c>
    </row>
    <row r="8" spans="1:9" x14ac:dyDescent="0.2">
      <c r="A8">
        <v>8</v>
      </c>
      <c r="B8">
        <v>27289.767631697901</v>
      </c>
      <c r="C8">
        <v>0.14365410804748499</v>
      </c>
      <c r="D8" s="1">
        <v>6.29425048828125E-5</v>
      </c>
      <c r="E8">
        <f t="shared" si="0"/>
        <v>2.0794415416798357</v>
      </c>
      <c r="F8">
        <f>Intercept + ln_coeff * E8</f>
        <v>27319.68006578209</v>
      </c>
      <c r="G8">
        <f t="shared" si="1"/>
        <v>29.912434084188135</v>
      </c>
      <c r="H8" s="6">
        <f t="shared" si="2"/>
        <v>1.0961043893039208E-3</v>
      </c>
      <c r="I8">
        <f t="shared" si="3"/>
        <v>0.52372826951987972</v>
      </c>
    </row>
    <row r="9" spans="1:9" x14ac:dyDescent="0.2">
      <c r="A9">
        <v>9</v>
      </c>
      <c r="B9">
        <v>28781.173737716199</v>
      </c>
      <c r="C9">
        <v>0.32354998588562001</v>
      </c>
      <c r="D9">
        <v>1.7189979553222599E-4</v>
      </c>
      <c r="E9">
        <f t="shared" si="0"/>
        <v>2.1972245773362196</v>
      </c>
      <c r="F9">
        <f>Intercept + ln_coeff * E9</f>
        <v>28799.514847331055</v>
      </c>
      <c r="G9">
        <f t="shared" si="1"/>
        <v>18.341109614855668</v>
      </c>
      <c r="H9" s="6">
        <f t="shared" si="2"/>
        <v>6.3726065455143753E-4</v>
      </c>
      <c r="I9">
        <f t="shared" si="3"/>
        <v>0.68651041204596397</v>
      </c>
    </row>
    <row r="10" spans="1:9" x14ac:dyDescent="0.2">
      <c r="A10">
        <v>10</v>
      </c>
      <c r="B10">
        <v>30116.695648965298</v>
      </c>
      <c r="C10">
        <v>0.56667399406433105</v>
      </c>
      <c r="D10">
        <v>1.5473365783691401E-4</v>
      </c>
      <c r="E10">
        <f t="shared" si="0"/>
        <v>2.3025850929940459</v>
      </c>
      <c r="F10">
        <f>Intercept + ln_coeff * E10</f>
        <v>30123.272167759184</v>
      </c>
      <c r="G10">
        <f t="shared" si="1"/>
        <v>6.5765187938850431</v>
      </c>
      <c r="H10" s="6">
        <f t="shared" si="2"/>
        <v>2.1836787377140388E-4</v>
      </c>
      <c r="I10">
        <f t="shared" si="3"/>
        <v>0.82751859363876623</v>
      </c>
    </row>
    <row r="11" spans="1:9" x14ac:dyDescent="0.2">
      <c r="A11">
        <v>11</v>
      </c>
      <c r="B11">
        <v>31325.769805547701</v>
      </c>
      <c r="C11">
        <v>0.99436521530151301</v>
      </c>
      <c r="D11">
        <v>1.4781951904296799E-4</v>
      </c>
      <c r="E11">
        <f t="shared" si="0"/>
        <v>2.3978952727983707</v>
      </c>
      <c r="F11">
        <f>Intercept + ln_coeff * E11</f>
        <v>31320.756324319733</v>
      </c>
      <c r="G11">
        <f t="shared" si="1"/>
        <v>-5.0134812279684411</v>
      </c>
      <c r="H11" s="6">
        <f t="shared" si="2"/>
        <v>-1.6004335277598088E-4</v>
      </c>
      <c r="I11">
        <f t="shared" si="3"/>
        <v>0.99811819948190827</v>
      </c>
    </row>
    <row r="12" spans="1:9" x14ac:dyDescent="0.2">
      <c r="A12">
        <v>12</v>
      </c>
      <c r="B12">
        <v>32430.2258446429</v>
      </c>
      <c r="C12">
        <v>1.7746610641479399</v>
      </c>
      <c r="D12">
        <v>2.1576881408691401E-4</v>
      </c>
      <c r="E12">
        <f t="shared" si="0"/>
        <v>2.4849066497880004</v>
      </c>
      <c r="F12">
        <f>Intercept + ln_coeff * E12</f>
        <v>32413.97370780924</v>
      </c>
      <c r="G12">
        <f t="shared" si="1"/>
        <v>-16.252136833660188</v>
      </c>
      <c r="H12" s="6">
        <f t="shared" si="2"/>
        <v>-5.0114164827331456E-4</v>
      </c>
      <c r="I12">
        <f t="shared" si="3"/>
        <v>1.2107053838833526</v>
      </c>
    </row>
    <row r="13" spans="1:9" x14ac:dyDescent="0.2">
      <c r="A13">
        <v>13</v>
      </c>
      <c r="B13">
        <v>33446.697258167798</v>
      </c>
      <c r="C13">
        <v>2.84032011032104</v>
      </c>
      <c r="D13">
        <v>2.9683113098144499E-4</v>
      </c>
      <c r="E13">
        <f t="shared" si="0"/>
        <v>2.5649493574615367</v>
      </c>
      <c r="F13">
        <f>Intercept + ln_coeff * E13</f>
        <v>33419.636213997459</v>
      </c>
      <c r="G13">
        <f t="shared" si="1"/>
        <v>-27.061044170339301</v>
      </c>
      <c r="H13" s="6">
        <f t="shared" si="2"/>
        <v>-8.0907971156198098E-4</v>
      </c>
      <c r="I13">
        <f t="shared" si="3"/>
        <v>1.4161929549023473</v>
      </c>
    </row>
    <row r="14" spans="1:9" x14ac:dyDescent="0.2">
      <c r="A14">
        <v>14</v>
      </c>
      <c r="B14">
        <v>34388.147716621097</v>
      </c>
      <c r="C14">
        <v>4.5951209068298304</v>
      </c>
      <c r="D14">
        <v>3.37123870849609E-4</v>
      </c>
      <c r="E14">
        <f t="shared" si="0"/>
        <v>2.6390573296152584</v>
      </c>
      <c r="F14">
        <f>Intercept + ln_coeff * E14</f>
        <v>34350.734263661245</v>
      </c>
      <c r="G14">
        <f t="shared" si="1"/>
        <v>-37.413452959852293</v>
      </c>
      <c r="H14" s="6">
        <f t="shared" si="2"/>
        <v>-1.0879752311221157E-3</v>
      </c>
      <c r="I14">
        <f t="shared" si="3"/>
        <v>1.6625152881498917</v>
      </c>
    </row>
    <row r="15" spans="1:9" x14ac:dyDescent="0.2">
      <c r="A15">
        <v>15</v>
      </c>
      <c r="B15">
        <v>35264.875659703299</v>
      </c>
      <c r="C15">
        <v>7.3537931442260698</v>
      </c>
      <c r="D15">
        <v>4.2796134948730398E-4</v>
      </c>
      <c r="E15">
        <f t="shared" si="0"/>
        <v>2.7080502011022101</v>
      </c>
      <c r="F15">
        <f>Intercept + ln_coeff * E15</f>
        <v>35217.565809786334</v>
      </c>
      <c r="G15">
        <f t="shared" si="1"/>
        <v>-47.309849916964595</v>
      </c>
      <c r="H15" s="6">
        <f t="shared" si="2"/>
        <v>-1.3415572586585049E-3</v>
      </c>
      <c r="I15">
        <f t="shared" si="3"/>
        <v>1.9446306944363863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Timing_data</vt:lpstr>
      <vt:lpstr>Intercept</vt:lpstr>
      <vt:lpstr>ln_coeff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Peterson</dc:creator>
  <cp:lastModifiedBy>Jake Peterson</cp:lastModifiedBy>
  <dcterms:created xsi:type="dcterms:W3CDTF">2022-10-14T07:15:13Z</dcterms:created>
  <dcterms:modified xsi:type="dcterms:W3CDTF">2022-10-14T08:11:24Z</dcterms:modified>
</cp:coreProperties>
</file>